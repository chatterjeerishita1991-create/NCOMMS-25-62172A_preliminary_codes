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izmannacil-my.sharepoint.com/personal/rishita_chatterjee_weizmann_ac_il/Documents/2025/January/PDO-PBMC_CRUK CI/"/>
    </mc:Choice>
  </mc:AlternateContent>
  <xr:revisionPtr revIDLastSave="73" documentId="8_{663BA2F5-DB5D-4887-BC1C-381E13B87548}" xr6:coauthVersionLast="47" xr6:coauthVersionMax="47" xr10:uidLastSave="{E6188DCC-F92A-F143-A7B2-FF70876CF30A}"/>
  <bookViews>
    <workbookView xWindow="0" yWindow="500" windowWidth="22440" windowHeight="14440" activeTab="1" xr2:uid="{61090E25-C7EF-44E1-9E2D-7D968A1BA8D5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2" i="1"/>
</calcChain>
</file>

<file path=xl/sharedStrings.xml><?xml version="1.0" encoding="utf-8"?>
<sst xmlns="http://schemas.openxmlformats.org/spreadsheetml/2006/main" count="204" uniqueCount="104">
  <si>
    <t>sample</t>
  </si>
  <si>
    <t>well</t>
  </si>
  <si>
    <t>treatment</t>
  </si>
  <si>
    <t>org</t>
  </si>
  <si>
    <t>culture</t>
  </si>
  <si>
    <t>events</t>
  </si>
  <si>
    <t>cells</t>
  </si>
  <si>
    <t>singlets</t>
  </si>
  <si>
    <t>beads</t>
  </si>
  <si>
    <t>hoechst</t>
  </si>
  <si>
    <t>cd3</t>
  </si>
  <si>
    <t>cd4</t>
  </si>
  <si>
    <t>cd8</t>
  </si>
  <si>
    <t>epcam</t>
  </si>
  <si>
    <t>PDO-PBMC_A1.fcs</t>
  </si>
  <si>
    <t>A1</t>
  </si>
  <si>
    <t>Ave + AR37</t>
  </si>
  <si>
    <t>PDO1</t>
  </si>
  <si>
    <t>co</t>
  </si>
  <si>
    <t>PDO-PBMC_A2.fcs</t>
  </si>
  <si>
    <t>A2</t>
  </si>
  <si>
    <t>PDO5</t>
  </si>
  <si>
    <t>PDO-PBMC_A3.fcs</t>
  </si>
  <si>
    <t>A3</t>
  </si>
  <si>
    <t>PDO6</t>
  </si>
  <si>
    <t>PDO-PBMC_A4.fcs</t>
  </si>
  <si>
    <t>A4</t>
  </si>
  <si>
    <t>mono</t>
  </si>
  <si>
    <t>PDO-PBMC_A5.fcs</t>
  </si>
  <si>
    <t>A5</t>
  </si>
  <si>
    <t>PDO-PBMC_A6.fcs</t>
  </si>
  <si>
    <t>A6</t>
  </si>
  <si>
    <t>PDO-PBMC_A7.fcs</t>
  </si>
  <si>
    <t>A7</t>
  </si>
  <si>
    <t>PBMC</t>
  </si>
  <si>
    <t>PDO-PBMC_B1.fcs</t>
  </si>
  <si>
    <t>B1</t>
  </si>
  <si>
    <t>BISAA</t>
  </si>
  <si>
    <t>PDO-PBMC_B2.fcs</t>
  </si>
  <si>
    <t>B2</t>
  </si>
  <si>
    <t>PDO-PBMC_B3.fcs</t>
  </si>
  <si>
    <t>B3</t>
  </si>
  <si>
    <t>PDO-PBMC_B4.fcs</t>
  </si>
  <si>
    <t>B4</t>
  </si>
  <si>
    <t>PDO-PBMC_B5.fcs</t>
  </si>
  <si>
    <t>B5</t>
  </si>
  <si>
    <t>PDO-PBMC_B6.fcs</t>
  </si>
  <si>
    <t>B6</t>
  </si>
  <si>
    <t>PDO-PBMC_B7.fcs</t>
  </si>
  <si>
    <t>B7</t>
  </si>
  <si>
    <t>PDO-PBMC_C1.fcs</t>
  </si>
  <si>
    <t>C1</t>
  </si>
  <si>
    <t>AR37</t>
  </si>
  <si>
    <t>PDO-PBMC_C2.fcs</t>
  </si>
  <si>
    <t>C2</t>
  </si>
  <si>
    <t>PDO-PBMC_C3.fcs</t>
  </si>
  <si>
    <t>C3</t>
  </si>
  <si>
    <t>PDO-PBMC_C4.fcs</t>
  </si>
  <si>
    <t>C4</t>
  </si>
  <si>
    <t>PDO-PBMC_C5.fcs</t>
  </si>
  <si>
    <t>C5</t>
  </si>
  <si>
    <t>PDO-PBMC_C6.fcs</t>
  </si>
  <si>
    <t>C6</t>
  </si>
  <si>
    <t>PDO-PBMC_C7.fcs</t>
  </si>
  <si>
    <t>C7</t>
  </si>
  <si>
    <t>PDO-PBMC_D1.fcs</t>
  </si>
  <si>
    <t>D1</t>
  </si>
  <si>
    <t>Avelumab</t>
  </si>
  <si>
    <t>PDO-PBMC_D2.fcs</t>
  </si>
  <si>
    <t>D2</t>
  </si>
  <si>
    <t>PDO-PBMC_D3.fcs</t>
  </si>
  <si>
    <t>D3</t>
  </si>
  <si>
    <t>PDO-PBMC_D4.fcs</t>
  </si>
  <si>
    <t>D4</t>
  </si>
  <si>
    <t>PDO-PBMC_D5.fcs</t>
  </si>
  <si>
    <t>D5</t>
  </si>
  <si>
    <t>PDO-PBMC_D6.fcs</t>
  </si>
  <si>
    <t>D6</t>
  </si>
  <si>
    <t>PDO-PBMC_D7.fcs</t>
  </si>
  <si>
    <t>D7</t>
  </si>
  <si>
    <t>PDO-PBMC_E1.fcs</t>
  </si>
  <si>
    <t>E1</t>
  </si>
  <si>
    <t>untreated</t>
  </si>
  <si>
    <t>PDO-PBMC_E2.fcs</t>
  </si>
  <si>
    <t>E2</t>
  </si>
  <si>
    <t>PDO-PBMC_E3.fcs</t>
  </si>
  <si>
    <t>E3</t>
  </si>
  <si>
    <t>PDO-PBMC_E4.fcs</t>
  </si>
  <si>
    <t>E4</t>
  </si>
  <si>
    <t>PDO-PBMC_E5.fcs</t>
  </si>
  <si>
    <t>E5</t>
  </si>
  <si>
    <t>PDO-PBMC_E6.fcs</t>
  </si>
  <si>
    <t>E6</t>
  </si>
  <si>
    <t>PDO-PBMC_E7.fcs</t>
  </si>
  <si>
    <t>E7</t>
  </si>
  <si>
    <t>PDO-PBMC_Unstained-CC.fcs</t>
  </si>
  <si>
    <t>Mean</t>
  </si>
  <si>
    <t>SD</t>
  </si>
  <si>
    <t>CD8 percent</t>
  </si>
  <si>
    <t>CD4 percent</t>
  </si>
  <si>
    <t>CD8:CD4</t>
  </si>
  <si>
    <t>Untreated</t>
  </si>
  <si>
    <t>Avelumab + AR37</t>
  </si>
  <si>
    <t>BisAA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</si>
</sst>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E877-9074-41F2-8C6B-CDFCC8981532}">
  <dimension ref="A1:S39"/>
  <sheetViews>
    <sheetView topLeftCell="A11" workbookViewId="0">
      <selection activeCell="S36" sqref="S36"/>
    </sheetView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98</v>
      </c>
      <c r="Q1" t="s">
        <v>99</v>
      </c>
      <c r="S1" t="s">
        <v>100</v>
      </c>
    </row>
    <row r="2" spans="1:19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40000</v>
      </c>
      <c r="G2">
        <v>39327</v>
      </c>
      <c r="H2">
        <v>34684</v>
      </c>
      <c r="J2">
        <v>11629</v>
      </c>
      <c r="K2">
        <v>6861</v>
      </c>
      <c r="L2">
        <v>1720</v>
      </c>
      <c r="M2">
        <v>1199</v>
      </c>
      <c r="N2">
        <v>348</v>
      </c>
      <c r="P2">
        <f>(M2/K2)*100</f>
        <v>17.475586649176506</v>
      </c>
      <c r="Q2">
        <f>(L2/K2)*100</f>
        <v>25.069231890394988</v>
      </c>
      <c r="S2">
        <f>P2/Q2</f>
        <v>0.6970930232558139</v>
      </c>
    </row>
    <row r="3" spans="1:19" x14ac:dyDescent="0.2">
      <c r="A3" t="s">
        <v>19</v>
      </c>
      <c r="B3" t="s">
        <v>20</v>
      </c>
      <c r="C3" t="s">
        <v>16</v>
      </c>
      <c r="D3" t="s">
        <v>21</v>
      </c>
      <c r="E3" t="s">
        <v>18</v>
      </c>
      <c r="F3">
        <v>50000</v>
      </c>
      <c r="G3">
        <v>49317</v>
      </c>
      <c r="H3">
        <v>41854</v>
      </c>
      <c r="J3">
        <v>17989</v>
      </c>
      <c r="K3">
        <v>11759</v>
      </c>
      <c r="L3">
        <v>4596</v>
      </c>
      <c r="M3">
        <v>2120</v>
      </c>
      <c r="N3">
        <v>432</v>
      </c>
      <c r="P3">
        <f t="shared" ref="P3:P39" si="0">(M3/K3)*100</f>
        <v>18.028743940811292</v>
      </c>
      <c r="Q3">
        <f t="shared" ref="Q3:Q39" si="1">(L3/K3)*100</f>
        <v>39.084956203758821</v>
      </c>
      <c r="S3">
        <f t="shared" ref="S3:S39" si="2">P3/Q3</f>
        <v>0.46127067014795475</v>
      </c>
    </row>
    <row r="4" spans="1:19" x14ac:dyDescent="0.2">
      <c r="A4" t="s">
        <v>22</v>
      </c>
      <c r="B4" t="s">
        <v>23</v>
      </c>
      <c r="C4" t="s">
        <v>16</v>
      </c>
      <c r="D4" t="s">
        <v>24</v>
      </c>
      <c r="E4" t="s">
        <v>18</v>
      </c>
      <c r="F4">
        <v>50000</v>
      </c>
      <c r="G4">
        <v>49292</v>
      </c>
      <c r="H4">
        <v>42773</v>
      </c>
      <c r="J4">
        <v>17089</v>
      </c>
      <c r="K4">
        <v>10875</v>
      </c>
      <c r="L4">
        <v>3479</v>
      </c>
      <c r="M4">
        <v>1963</v>
      </c>
      <c r="N4">
        <v>486</v>
      </c>
      <c r="P4">
        <f t="shared" si="0"/>
        <v>18.050574712643677</v>
      </c>
      <c r="Q4">
        <f t="shared" si="1"/>
        <v>31.99080459770115</v>
      </c>
      <c r="S4">
        <f t="shared" si="2"/>
        <v>0.56424259844782976</v>
      </c>
    </row>
    <row r="5" spans="1:19" x14ac:dyDescent="0.2">
      <c r="A5" t="s">
        <v>25</v>
      </c>
      <c r="B5" t="s">
        <v>26</v>
      </c>
      <c r="C5" t="s">
        <v>16</v>
      </c>
      <c r="D5" t="s">
        <v>17</v>
      </c>
      <c r="E5" t="s">
        <v>27</v>
      </c>
      <c r="F5">
        <v>20000</v>
      </c>
      <c r="G5">
        <v>18502</v>
      </c>
      <c r="H5">
        <v>13439</v>
      </c>
      <c r="J5">
        <v>3081</v>
      </c>
      <c r="K5">
        <v>3</v>
      </c>
      <c r="L5">
        <v>3</v>
      </c>
      <c r="M5">
        <v>0</v>
      </c>
      <c r="N5">
        <v>433</v>
      </c>
      <c r="P5">
        <f t="shared" si="0"/>
        <v>0</v>
      </c>
      <c r="Q5">
        <f t="shared" si="1"/>
        <v>100</v>
      </c>
      <c r="S5">
        <f t="shared" si="2"/>
        <v>0</v>
      </c>
    </row>
    <row r="6" spans="1:19" x14ac:dyDescent="0.2">
      <c r="A6" t="s">
        <v>28</v>
      </c>
      <c r="B6" t="s">
        <v>29</v>
      </c>
      <c r="C6" t="s">
        <v>16</v>
      </c>
      <c r="D6" t="s">
        <v>21</v>
      </c>
      <c r="E6" t="s">
        <v>27</v>
      </c>
      <c r="F6">
        <v>20000</v>
      </c>
      <c r="G6">
        <v>18828</v>
      </c>
      <c r="H6">
        <v>12657</v>
      </c>
      <c r="J6">
        <v>3912</v>
      </c>
      <c r="K6">
        <v>0</v>
      </c>
      <c r="L6">
        <v>0</v>
      </c>
      <c r="M6">
        <v>0</v>
      </c>
      <c r="N6">
        <v>951</v>
      </c>
      <c r="P6" t="e">
        <f t="shared" si="0"/>
        <v>#DIV/0!</v>
      </c>
      <c r="Q6" t="e">
        <f t="shared" si="1"/>
        <v>#DIV/0!</v>
      </c>
      <c r="S6" t="e">
        <f t="shared" si="2"/>
        <v>#DIV/0!</v>
      </c>
    </row>
    <row r="7" spans="1:19" x14ac:dyDescent="0.2">
      <c r="A7" t="s">
        <v>30</v>
      </c>
      <c r="B7" t="s">
        <v>31</v>
      </c>
      <c r="C7" t="s">
        <v>16</v>
      </c>
      <c r="D7" t="s">
        <v>24</v>
      </c>
      <c r="E7" t="s">
        <v>27</v>
      </c>
      <c r="F7">
        <v>20000</v>
      </c>
      <c r="G7">
        <v>18797</v>
      </c>
      <c r="H7">
        <v>12580</v>
      </c>
      <c r="J7">
        <v>3692</v>
      </c>
      <c r="K7">
        <v>1</v>
      </c>
      <c r="L7">
        <v>1</v>
      </c>
      <c r="M7">
        <v>0</v>
      </c>
      <c r="N7">
        <v>422</v>
      </c>
      <c r="P7">
        <f t="shared" si="0"/>
        <v>0</v>
      </c>
      <c r="Q7">
        <f t="shared" si="1"/>
        <v>100</v>
      </c>
      <c r="S7">
        <f t="shared" si="2"/>
        <v>0</v>
      </c>
    </row>
    <row r="8" spans="1:19" x14ac:dyDescent="0.2">
      <c r="A8" t="s">
        <v>32</v>
      </c>
      <c r="B8" t="s">
        <v>33</v>
      </c>
      <c r="C8" t="s">
        <v>16</v>
      </c>
      <c r="D8" t="s">
        <v>34</v>
      </c>
      <c r="E8" t="s">
        <v>27</v>
      </c>
      <c r="F8">
        <v>50000</v>
      </c>
      <c r="G8">
        <v>44854</v>
      </c>
      <c r="H8">
        <v>38349</v>
      </c>
      <c r="J8">
        <v>19491</v>
      </c>
      <c r="K8">
        <v>11441</v>
      </c>
      <c r="L8">
        <v>2976</v>
      </c>
      <c r="M8">
        <v>1585</v>
      </c>
      <c r="N8">
        <v>3</v>
      </c>
      <c r="P8">
        <f t="shared" si="0"/>
        <v>13.853684118521109</v>
      </c>
      <c r="Q8">
        <f t="shared" si="1"/>
        <v>26.011712262914084</v>
      </c>
      <c r="S8">
        <f t="shared" si="2"/>
        <v>0.53259408602150538</v>
      </c>
    </row>
    <row r="9" spans="1:19" x14ac:dyDescent="0.2">
      <c r="A9" t="s">
        <v>35</v>
      </c>
      <c r="B9" t="s">
        <v>36</v>
      </c>
      <c r="C9" t="s">
        <v>37</v>
      </c>
      <c r="D9" t="s">
        <v>17</v>
      </c>
      <c r="E9" t="s">
        <v>18</v>
      </c>
      <c r="F9">
        <v>40000</v>
      </c>
      <c r="G9">
        <v>39327</v>
      </c>
      <c r="H9">
        <v>33036</v>
      </c>
      <c r="J9">
        <v>13111</v>
      </c>
      <c r="K9">
        <v>7722</v>
      </c>
      <c r="L9">
        <v>2593</v>
      </c>
      <c r="M9">
        <v>893</v>
      </c>
      <c r="N9">
        <v>324</v>
      </c>
      <c r="P9">
        <f t="shared" si="0"/>
        <v>11.564361564361564</v>
      </c>
      <c r="Q9">
        <f t="shared" si="1"/>
        <v>33.579383579383581</v>
      </c>
      <c r="S9">
        <f t="shared" si="2"/>
        <v>0.34438873891245658</v>
      </c>
    </row>
    <row r="10" spans="1:19" x14ac:dyDescent="0.2">
      <c r="A10" t="s">
        <v>38</v>
      </c>
      <c r="B10" t="s">
        <v>39</v>
      </c>
      <c r="C10" t="s">
        <v>37</v>
      </c>
      <c r="D10" t="s">
        <v>21</v>
      </c>
      <c r="E10" t="s">
        <v>18</v>
      </c>
      <c r="F10">
        <v>50000</v>
      </c>
      <c r="G10">
        <v>49318</v>
      </c>
      <c r="H10">
        <v>37540</v>
      </c>
      <c r="J10">
        <v>19872</v>
      </c>
      <c r="K10">
        <v>13878</v>
      </c>
      <c r="L10">
        <v>7665</v>
      </c>
      <c r="M10">
        <v>1610</v>
      </c>
      <c r="N10">
        <v>336</v>
      </c>
      <c r="P10">
        <f t="shared" si="0"/>
        <v>11.601095258682808</v>
      </c>
      <c r="Q10">
        <f t="shared" si="1"/>
        <v>55.231301340250759</v>
      </c>
      <c r="S10">
        <f t="shared" si="2"/>
        <v>0.21004566210045661</v>
      </c>
    </row>
    <row r="11" spans="1:19" x14ac:dyDescent="0.2">
      <c r="A11" t="s">
        <v>40</v>
      </c>
      <c r="B11" t="s">
        <v>41</v>
      </c>
      <c r="C11" t="s">
        <v>37</v>
      </c>
      <c r="D11" t="s">
        <v>24</v>
      </c>
      <c r="E11" t="s">
        <v>18</v>
      </c>
      <c r="F11">
        <v>50000</v>
      </c>
      <c r="G11">
        <v>49354</v>
      </c>
      <c r="H11">
        <v>40451</v>
      </c>
      <c r="J11">
        <v>19983</v>
      </c>
      <c r="K11">
        <v>14165</v>
      </c>
      <c r="L11">
        <v>6641</v>
      </c>
      <c r="M11">
        <v>1937</v>
      </c>
      <c r="N11">
        <v>437</v>
      </c>
      <c r="P11">
        <f t="shared" si="0"/>
        <v>13.674549947052594</v>
      </c>
      <c r="Q11">
        <f t="shared" si="1"/>
        <v>46.883162725026473</v>
      </c>
      <c r="S11">
        <f t="shared" si="2"/>
        <v>0.29167294082216533</v>
      </c>
    </row>
    <row r="12" spans="1:19" x14ac:dyDescent="0.2">
      <c r="A12" t="s">
        <v>42</v>
      </c>
      <c r="B12" t="s">
        <v>43</v>
      </c>
      <c r="C12" t="s">
        <v>37</v>
      </c>
      <c r="D12" t="s">
        <v>17</v>
      </c>
      <c r="E12" t="s">
        <v>27</v>
      </c>
      <c r="F12">
        <v>20000</v>
      </c>
      <c r="G12">
        <v>18646</v>
      </c>
      <c r="H12">
        <v>13701</v>
      </c>
      <c r="J12">
        <v>2951</v>
      </c>
      <c r="K12">
        <v>1</v>
      </c>
      <c r="L12">
        <v>1</v>
      </c>
      <c r="M12">
        <v>0</v>
      </c>
      <c r="N12">
        <v>466</v>
      </c>
      <c r="P12">
        <f t="shared" si="0"/>
        <v>0</v>
      </c>
      <c r="Q12">
        <f t="shared" si="1"/>
        <v>100</v>
      </c>
      <c r="S12">
        <f t="shared" si="2"/>
        <v>0</v>
      </c>
    </row>
    <row r="13" spans="1:19" x14ac:dyDescent="0.2">
      <c r="A13" t="s">
        <v>44</v>
      </c>
      <c r="B13" t="s">
        <v>45</v>
      </c>
      <c r="C13" t="s">
        <v>37</v>
      </c>
      <c r="D13" t="s">
        <v>21</v>
      </c>
      <c r="E13" t="s">
        <v>27</v>
      </c>
      <c r="F13">
        <v>20000</v>
      </c>
      <c r="G13">
        <v>18710</v>
      </c>
      <c r="H13">
        <v>12315</v>
      </c>
      <c r="J13">
        <v>4316</v>
      </c>
      <c r="K13">
        <v>1</v>
      </c>
      <c r="L13">
        <v>0</v>
      </c>
      <c r="M13">
        <v>0</v>
      </c>
      <c r="N13">
        <v>1222</v>
      </c>
      <c r="P13">
        <f t="shared" si="0"/>
        <v>0</v>
      </c>
      <c r="Q13">
        <f t="shared" si="1"/>
        <v>0</v>
      </c>
      <c r="S13" t="e">
        <f t="shared" si="2"/>
        <v>#DIV/0!</v>
      </c>
    </row>
    <row r="14" spans="1:19" x14ac:dyDescent="0.2">
      <c r="A14" t="s">
        <v>46</v>
      </c>
      <c r="B14" t="s">
        <v>47</v>
      </c>
      <c r="C14" t="s">
        <v>37</v>
      </c>
      <c r="D14" t="s">
        <v>24</v>
      </c>
      <c r="E14" t="s">
        <v>27</v>
      </c>
      <c r="F14">
        <v>20000</v>
      </c>
      <c r="G14">
        <v>18779</v>
      </c>
      <c r="H14">
        <v>11986</v>
      </c>
      <c r="J14">
        <v>2969</v>
      </c>
      <c r="K14">
        <v>3</v>
      </c>
      <c r="L14">
        <v>1</v>
      </c>
      <c r="M14">
        <v>0</v>
      </c>
      <c r="N14">
        <v>476</v>
      </c>
      <c r="P14">
        <f t="shared" si="0"/>
        <v>0</v>
      </c>
      <c r="Q14">
        <f t="shared" si="1"/>
        <v>33.333333333333329</v>
      </c>
      <c r="S14">
        <f t="shared" si="2"/>
        <v>0</v>
      </c>
    </row>
    <row r="15" spans="1:19" x14ac:dyDescent="0.2">
      <c r="A15" t="s">
        <v>48</v>
      </c>
      <c r="B15" t="s">
        <v>49</v>
      </c>
      <c r="C15" t="s">
        <v>37</v>
      </c>
      <c r="D15" t="s">
        <v>34</v>
      </c>
      <c r="E15" t="s">
        <v>27</v>
      </c>
      <c r="F15">
        <v>50000</v>
      </c>
      <c r="G15">
        <v>49309</v>
      </c>
      <c r="H15">
        <v>38718</v>
      </c>
      <c r="J15">
        <v>18638</v>
      </c>
      <c r="K15">
        <v>14113</v>
      </c>
      <c r="L15">
        <v>4685</v>
      </c>
      <c r="M15">
        <v>1354</v>
      </c>
      <c r="N15">
        <v>1</v>
      </c>
      <c r="P15">
        <f t="shared" si="0"/>
        <v>9.593991355487848</v>
      </c>
      <c r="Q15">
        <f t="shared" si="1"/>
        <v>33.196343796499683</v>
      </c>
      <c r="S15">
        <f t="shared" si="2"/>
        <v>0.28900747065101384</v>
      </c>
    </row>
    <row r="16" spans="1:19" x14ac:dyDescent="0.2">
      <c r="A16" t="s">
        <v>50</v>
      </c>
      <c r="B16" t="s">
        <v>51</v>
      </c>
      <c r="C16" t="s">
        <v>52</v>
      </c>
      <c r="D16" t="s">
        <v>17</v>
      </c>
      <c r="E16" t="s">
        <v>18</v>
      </c>
      <c r="F16">
        <v>40000</v>
      </c>
      <c r="G16">
        <v>39350</v>
      </c>
      <c r="H16">
        <v>32807</v>
      </c>
      <c r="J16">
        <v>11730</v>
      </c>
      <c r="K16">
        <v>6704</v>
      </c>
      <c r="L16">
        <v>2309</v>
      </c>
      <c r="M16">
        <v>932</v>
      </c>
      <c r="N16">
        <v>358</v>
      </c>
      <c r="P16">
        <f t="shared" si="0"/>
        <v>13.902147971360382</v>
      </c>
      <c r="Q16">
        <f t="shared" si="1"/>
        <v>34.442124105011935</v>
      </c>
      <c r="S16">
        <f t="shared" si="2"/>
        <v>0.4036379385015158</v>
      </c>
    </row>
    <row r="17" spans="1:19" x14ac:dyDescent="0.2">
      <c r="A17" t="s">
        <v>53</v>
      </c>
      <c r="B17" t="s">
        <v>54</v>
      </c>
      <c r="C17" t="s">
        <v>52</v>
      </c>
      <c r="D17" t="s">
        <v>21</v>
      </c>
      <c r="E17" t="s">
        <v>18</v>
      </c>
      <c r="F17">
        <v>50000</v>
      </c>
      <c r="G17">
        <v>49125</v>
      </c>
      <c r="H17">
        <v>37397</v>
      </c>
      <c r="J17">
        <v>18282</v>
      </c>
      <c r="K17">
        <v>12335</v>
      </c>
      <c r="L17">
        <v>6380</v>
      </c>
      <c r="M17">
        <v>1523</v>
      </c>
      <c r="N17">
        <v>411</v>
      </c>
      <c r="P17">
        <f t="shared" si="0"/>
        <v>12.346980137819214</v>
      </c>
      <c r="Q17">
        <f t="shared" si="1"/>
        <v>51.722740170247263</v>
      </c>
      <c r="S17">
        <f t="shared" si="2"/>
        <v>0.23871473354231976</v>
      </c>
    </row>
    <row r="18" spans="1:19" x14ac:dyDescent="0.2">
      <c r="A18" t="s">
        <v>55</v>
      </c>
      <c r="B18" t="s">
        <v>56</v>
      </c>
      <c r="C18" t="s">
        <v>52</v>
      </c>
      <c r="D18" t="s">
        <v>24</v>
      </c>
      <c r="E18" t="s">
        <v>18</v>
      </c>
      <c r="F18">
        <v>50000</v>
      </c>
      <c r="G18">
        <v>49338</v>
      </c>
      <c r="H18">
        <v>39404</v>
      </c>
      <c r="J18">
        <v>19138</v>
      </c>
      <c r="K18">
        <v>13221</v>
      </c>
      <c r="L18">
        <v>6537</v>
      </c>
      <c r="M18">
        <v>1515</v>
      </c>
      <c r="N18">
        <v>506</v>
      </c>
      <c r="P18">
        <f t="shared" si="0"/>
        <v>11.45904243249376</v>
      </c>
      <c r="Q18">
        <f t="shared" si="1"/>
        <v>49.444066258225547</v>
      </c>
      <c r="S18">
        <f t="shared" si="2"/>
        <v>0.23175768701239102</v>
      </c>
    </row>
    <row r="19" spans="1:19" x14ac:dyDescent="0.2">
      <c r="A19" t="s">
        <v>57</v>
      </c>
      <c r="B19" t="s">
        <v>58</v>
      </c>
      <c r="C19" t="s">
        <v>52</v>
      </c>
      <c r="D19" t="s">
        <v>17</v>
      </c>
      <c r="E19" t="s">
        <v>27</v>
      </c>
      <c r="F19">
        <v>20000</v>
      </c>
      <c r="G19">
        <v>18750</v>
      </c>
      <c r="H19">
        <v>13687</v>
      </c>
      <c r="J19">
        <v>2958</v>
      </c>
      <c r="K19">
        <v>4</v>
      </c>
      <c r="L19">
        <v>1</v>
      </c>
      <c r="M19">
        <v>0</v>
      </c>
      <c r="N19">
        <v>447</v>
      </c>
      <c r="P19">
        <f t="shared" si="0"/>
        <v>0</v>
      </c>
      <c r="Q19">
        <f t="shared" si="1"/>
        <v>25</v>
      </c>
      <c r="S19">
        <f t="shared" si="2"/>
        <v>0</v>
      </c>
    </row>
    <row r="20" spans="1:19" x14ac:dyDescent="0.2">
      <c r="A20" t="s">
        <v>59</v>
      </c>
      <c r="B20" t="s">
        <v>60</v>
      </c>
      <c r="C20" t="s">
        <v>52</v>
      </c>
      <c r="D20" t="s">
        <v>21</v>
      </c>
      <c r="E20" t="s">
        <v>27</v>
      </c>
      <c r="F20">
        <v>20000</v>
      </c>
      <c r="G20">
        <v>18672</v>
      </c>
      <c r="H20">
        <v>12575</v>
      </c>
      <c r="J20">
        <v>4169</v>
      </c>
      <c r="K20">
        <v>1</v>
      </c>
      <c r="L20">
        <v>0</v>
      </c>
      <c r="M20">
        <v>0</v>
      </c>
      <c r="N20">
        <v>973</v>
      </c>
      <c r="P20">
        <f t="shared" si="0"/>
        <v>0</v>
      </c>
      <c r="Q20">
        <f t="shared" si="1"/>
        <v>0</v>
      </c>
      <c r="S20" t="e">
        <f t="shared" si="2"/>
        <v>#DIV/0!</v>
      </c>
    </row>
    <row r="21" spans="1:19" x14ac:dyDescent="0.2">
      <c r="A21" t="s">
        <v>61</v>
      </c>
      <c r="B21" t="s">
        <v>62</v>
      </c>
      <c r="C21" t="s">
        <v>52</v>
      </c>
      <c r="D21" t="s">
        <v>24</v>
      </c>
      <c r="E21" t="s">
        <v>27</v>
      </c>
      <c r="F21">
        <v>20000</v>
      </c>
      <c r="G21">
        <v>18865</v>
      </c>
      <c r="H21">
        <v>12391</v>
      </c>
      <c r="J21">
        <v>2744</v>
      </c>
      <c r="K21">
        <v>3</v>
      </c>
      <c r="L21">
        <v>0</v>
      </c>
      <c r="M21">
        <v>0</v>
      </c>
      <c r="N21">
        <v>441</v>
      </c>
      <c r="P21">
        <f t="shared" si="0"/>
        <v>0</v>
      </c>
      <c r="Q21">
        <f t="shared" si="1"/>
        <v>0</v>
      </c>
      <c r="S21" t="e">
        <f t="shared" si="2"/>
        <v>#DIV/0!</v>
      </c>
    </row>
    <row r="22" spans="1:19" x14ac:dyDescent="0.2">
      <c r="A22" t="s">
        <v>63</v>
      </c>
      <c r="B22" t="s">
        <v>64</v>
      </c>
      <c r="C22" t="s">
        <v>52</v>
      </c>
      <c r="D22" t="s">
        <v>34</v>
      </c>
      <c r="E22" t="s">
        <v>27</v>
      </c>
      <c r="F22">
        <v>50000</v>
      </c>
      <c r="G22">
        <v>49388</v>
      </c>
      <c r="H22">
        <v>38316</v>
      </c>
      <c r="J22">
        <v>17622</v>
      </c>
      <c r="K22">
        <v>13177</v>
      </c>
      <c r="L22">
        <v>4715</v>
      </c>
      <c r="M22">
        <v>1265</v>
      </c>
      <c r="N22">
        <v>1</v>
      </c>
      <c r="P22">
        <f t="shared" si="0"/>
        <v>9.6000607118463996</v>
      </c>
      <c r="Q22">
        <f t="shared" si="1"/>
        <v>35.78204447142749</v>
      </c>
      <c r="S22">
        <f t="shared" si="2"/>
        <v>0.26829268292682928</v>
      </c>
    </row>
    <row r="23" spans="1:19" x14ac:dyDescent="0.2">
      <c r="A23" t="s">
        <v>65</v>
      </c>
      <c r="B23" t="s">
        <v>66</v>
      </c>
      <c r="C23" t="s">
        <v>67</v>
      </c>
      <c r="D23" t="s">
        <v>17</v>
      </c>
      <c r="E23" t="s">
        <v>18</v>
      </c>
      <c r="F23">
        <v>40000</v>
      </c>
      <c r="G23">
        <v>39323</v>
      </c>
      <c r="H23">
        <v>32921</v>
      </c>
      <c r="J23">
        <v>12213</v>
      </c>
      <c r="K23">
        <v>7519</v>
      </c>
      <c r="L23">
        <v>2494</v>
      </c>
      <c r="M23">
        <v>1029</v>
      </c>
      <c r="N23">
        <v>354</v>
      </c>
      <c r="P23">
        <f t="shared" si="0"/>
        <v>13.685330496076606</v>
      </c>
      <c r="Q23">
        <f t="shared" si="1"/>
        <v>33.169304428780421</v>
      </c>
      <c r="S23">
        <f t="shared" si="2"/>
        <v>0.41259021651964717</v>
      </c>
    </row>
    <row r="24" spans="1:19" x14ac:dyDescent="0.2">
      <c r="A24" t="s">
        <v>68</v>
      </c>
      <c r="B24" t="s">
        <v>69</v>
      </c>
      <c r="C24" t="s">
        <v>67</v>
      </c>
      <c r="D24" t="s">
        <v>21</v>
      </c>
      <c r="E24" t="s">
        <v>18</v>
      </c>
      <c r="F24">
        <v>46905</v>
      </c>
      <c r="G24">
        <v>46312</v>
      </c>
      <c r="H24">
        <v>36457</v>
      </c>
      <c r="J24">
        <v>15682</v>
      </c>
      <c r="K24">
        <v>10534</v>
      </c>
      <c r="L24">
        <v>5358</v>
      </c>
      <c r="M24">
        <v>1035</v>
      </c>
      <c r="N24">
        <v>301</v>
      </c>
      <c r="P24">
        <f t="shared" si="0"/>
        <v>9.8253275109170293</v>
      </c>
      <c r="Q24">
        <f t="shared" si="1"/>
        <v>50.863869375355989</v>
      </c>
      <c r="S24">
        <f t="shared" si="2"/>
        <v>0.19316909294512877</v>
      </c>
    </row>
    <row r="25" spans="1:19" x14ac:dyDescent="0.2">
      <c r="A25" t="s">
        <v>70</v>
      </c>
      <c r="B25" t="s">
        <v>71</v>
      </c>
      <c r="C25" t="s">
        <v>67</v>
      </c>
      <c r="D25" t="s">
        <v>24</v>
      </c>
      <c r="E25" t="s">
        <v>18</v>
      </c>
      <c r="F25">
        <v>50000</v>
      </c>
      <c r="G25">
        <v>49193</v>
      </c>
      <c r="H25">
        <v>39611</v>
      </c>
      <c r="J25">
        <v>17928</v>
      </c>
      <c r="K25">
        <v>12821</v>
      </c>
      <c r="L25">
        <v>6224</v>
      </c>
      <c r="M25">
        <v>1356</v>
      </c>
      <c r="N25">
        <v>430</v>
      </c>
      <c r="P25">
        <f t="shared" si="0"/>
        <v>10.576398096872319</v>
      </c>
      <c r="Q25">
        <f t="shared" si="1"/>
        <v>48.545355276499492</v>
      </c>
      <c r="S25">
        <f t="shared" si="2"/>
        <v>0.21786632390745503</v>
      </c>
    </row>
    <row r="26" spans="1:19" x14ac:dyDescent="0.2">
      <c r="A26" t="s">
        <v>72</v>
      </c>
      <c r="B26" t="s">
        <v>73</v>
      </c>
      <c r="C26" t="s">
        <v>67</v>
      </c>
      <c r="D26" t="s">
        <v>17</v>
      </c>
      <c r="E26" t="s">
        <v>27</v>
      </c>
      <c r="F26">
        <v>44572</v>
      </c>
      <c r="G26">
        <v>42443</v>
      </c>
      <c r="H26">
        <v>31376</v>
      </c>
      <c r="J26">
        <v>6939</v>
      </c>
      <c r="K26">
        <v>76</v>
      </c>
      <c r="L26">
        <v>23</v>
      </c>
      <c r="M26">
        <v>12</v>
      </c>
      <c r="N26">
        <v>1226</v>
      </c>
      <c r="P26">
        <f t="shared" si="0"/>
        <v>15.789473684210526</v>
      </c>
      <c r="Q26">
        <f t="shared" si="1"/>
        <v>30.263157894736842</v>
      </c>
      <c r="S26">
        <f>P26/Q26</f>
        <v>0.52173913043478259</v>
      </c>
    </row>
    <row r="27" spans="1:19" x14ac:dyDescent="0.2">
      <c r="A27" t="s">
        <v>74</v>
      </c>
      <c r="B27" t="s">
        <v>75</v>
      </c>
      <c r="C27" t="s">
        <v>67</v>
      </c>
      <c r="D27" t="s">
        <v>21</v>
      </c>
      <c r="E27" t="s">
        <v>27</v>
      </c>
      <c r="F27">
        <v>20000</v>
      </c>
      <c r="G27">
        <v>18821</v>
      </c>
      <c r="H27">
        <v>12677</v>
      </c>
      <c r="J27">
        <v>4139</v>
      </c>
      <c r="K27">
        <v>7</v>
      </c>
      <c r="L27">
        <v>0</v>
      </c>
      <c r="M27">
        <v>0</v>
      </c>
      <c r="N27">
        <v>1059</v>
      </c>
      <c r="P27">
        <f t="shared" si="0"/>
        <v>0</v>
      </c>
      <c r="Q27">
        <f t="shared" si="1"/>
        <v>0</v>
      </c>
      <c r="S27" t="e">
        <f t="shared" si="2"/>
        <v>#DIV/0!</v>
      </c>
    </row>
    <row r="28" spans="1:19" x14ac:dyDescent="0.2">
      <c r="A28" t="s">
        <v>76</v>
      </c>
      <c r="B28" t="s">
        <v>77</v>
      </c>
      <c r="C28" t="s">
        <v>67</v>
      </c>
      <c r="D28" t="s">
        <v>24</v>
      </c>
      <c r="E28" t="s">
        <v>27</v>
      </c>
      <c r="F28">
        <v>20000</v>
      </c>
      <c r="G28">
        <v>18892</v>
      </c>
      <c r="H28">
        <v>13058</v>
      </c>
      <c r="J28">
        <v>3785</v>
      </c>
      <c r="K28">
        <v>1</v>
      </c>
      <c r="L28">
        <v>0</v>
      </c>
      <c r="M28">
        <v>0</v>
      </c>
      <c r="N28">
        <v>456</v>
      </c>
      <c r="P28">
        <f t="shared" si="0"/>
        <v>0</v>
      </c>
      <c r="Q28">
        <f t="shared" si="1"/>
        <v>0</v>
      </c>
      <c r="S28" t="e">
        <f t="shared" si="2"/>
        <v>#DIV/0!</v>
      </c>
    </row>
    <row r="29" spans="1:19" x14ac:dyDescent="0.2">
      <c r="A29" t="s">
        <v>78</v>
      </c>
      <c r="B29" t="s">
        <v>79</v>
      </c>
      <c r="C29" t="s">
        <v>67</v>
      </c>
      <c r="D29" t="s">
        <v>34</v>
      </c>
      <c r="E29" t="s">
        <v>27</v>
      </c>
      <c r="F29">
        <v>50000</v>
      </c>
      <c r="G29">
        <v>49373</v>
      </c>
      <c r="H29">
        <v>38921</v>
      </c>
      <c r="J29">
        <v>18123</v>
      </c>
      <c r="K29">
        <v>13901</v>
      </c>
      <c r="L29">
        <v>6638</v>
      </c>
      <c r="M29">
        <v>1729</v>
      </c>
      <c r="N29">
        <v>0</v>
      </c>
      <c r="P29">
        <f t="shared" si="0"/>
        <v>12.437954104021294</v>
      </c>
      <c r="Q29">
        <f t="shared" si="1"/>
        <v>47.75196029062657</v>
      </c>
      <c r="S29">
        <f t="shared" si="2"/>
        <v>0.26047002109069001</v>
      </c>
    </row>
    <row r="30" spans="1:19" x14ac:dyDescent="0.2">
      <c r="A30" t="s">
        <v>80</v>
      </c>
      <c r="B30" t="s">
        <v>81</v>
      </c>
      <c r="C30" t="s">
        <v>82</v>
      </c>
      <c r="D30" t="s">
        <v>17</v>
      </c>
      <c r="E30" t="s">
        <v>18</v>
      </c>
      <c r="F30">
        <v>40000</v>
      </c>
      <c r="G30">
        <v>39320</v>
      </c>
      <c r="H30">
        <v>32654</v>
      </c>
      <c r="J30">
        <v>12693</v>
      </c>
      <c r="K30">
        <v>7639</v>
      </c>
      <c r="L30">
        <v>2549</v>
      </c>
      <c r="M30">
        <v>983</v>
      </c>
      <c r="N30">
        <v>301</v>
      </c>
      <c r="P30">
        <f t="shared" si="0"/>
        <v>12.868176462887812</v>
      </c>
      <c r="Q30">
        <f t="shared" si="1"/>
        <v>33.368241916481217</v>
      </c>
      <c r="S30">
        <f t="shared" si="2"/>
        <v>0.38564142801098467</v>
      </c>
    </row>
    <row r="31" spans="1:19" x14ac:dyDescent="0.2">
      <c r="A31" t="s">
        <v>83</v>
      </c>
      <c r="B31" t="s">
        <v>84</v>
      </c>
      <c r="C31" t="s">
        <v>82</v>
      </c>
      <c r="D31" t="s">
        <v>21</v>
      </c>
      <c r="E31" t="s">
        <v>18</v>
      </c>
      <c r="F31">
        <v>50000</v>
      </c>
      <c r="G31">
        <v>49037</v>
      </c>
      <c r="H31">
        <v>37699</v>
      </c>
      <c r="J31">
        <v>18065</v>
      </c>
      <c r="K31">
        <v>12705</v>
      </c>
      <c r="L31">
        <v>6372</v>
      </c>
      <c r="M31">
        <v>1647</v>
      </c>
      <c r="N31">
        <v>314</v>
      </c>
      <c r="P31">
        <f t="shared" si="0"/>
        <v>12.963400236127509</v>
      </c>
      <c r="Q31">
        <f t="shared" si="1"/>
        <v>50.153482880755604</v>
      </c>
      <c r="S31">
        <f t="shared" si="2"/>
        <v>0.25847457627118647</v>
      </c>
    </row>
    <row r="32" spans="1:19" x14ac:dyDescent="0.2">
      <c r="A32" t="s">
        <v>85</v>
      </c>
      <c r="B32" t="s">
        <v>86</v>
      </c>
      <c r="C32" t="s">
        <v>82</v>
      </c>
      <c r="D32" t="s">
        <v>24</v>
      </c>
      <c r="E32" t="s">
        <v>18</v>
      </c>
      <c r="F32">
        <v>50000</v>
      </c>
      <c r="G32">
        <v>49265</v>
      </c>
      <c r="H32">
        <v>39068</v>
      </c>
      <c r="J32">
        <v>18900</v>
      </c>
      <c r="K32">
        <v>14003</v>
      </c>
      <c r="L32">
        <v>7408</v>
      </c>
      <c r="M32">
        <v>1806</v>
      </c>
      <c r="N32">
        <v>381</v>
      </c>
      <c r="P32">
        <f t="shared" si="0"/>
        <v>12.89723630650575</v>
      </c>
      <c r="Q32">
        <f t="shared" si="1"/>
        <v>52.902949367992569</v>
      </c>
      <c r="S32">
        <f t="shared" si="2"/>
        <v>0.24379049676025921</v>
      </c>
    </row>
    <row r="33" spans="1:19" x14ac:dyDescent="0.2">
      <c r="A33" t="s">
        <v>87</v>
      </c>
      <c r="B33" t="s">
        <v>88</v>
      </c>
      <c r="C33" t="s">
        <v>82</v>
      </c>
      <c r="D33" t="s">
        <v>17</v>
      </c>
      <c r="E33" t="s">
        <v>27</v>
      </c>
      <c r="F33">
        <v>40000</v>
      </c>
      <c r="G33">
        <v>24188</v>
      </c>
      <c r="H33">
        <v>17107</v>
      </c>
      <c r="J33">
        <v>3869</v>
      </c>
      <c r="K33">
        <v>24</v>
      </c>
      <c r="L33">
        <v>8</v>
      </c>
      <c r="M33">
        <v>1</v>
      </c>
      <c r="N33">
        <v>472</v>
      </c>
      <c r="P33">
        <f t="shared" si="0"/>
        <v>4.1666666666666661</v>
      </c>
      <c r="Q33">
        <f t="shared" si="1"/>
        <v>33.333333333333329</v>
      </c>
      <c r="S33">
        <f t="shared" si="2"/>
        <v>0.125</v>
      </c>
    </row>
    <row r="34" spans="1:19" x14ac:dyDescent="0.2">
      <c r="A34" t="s">
        <v>89</v>
      </c>
      <c r="B34" t="s">
        <v>90</v>
      </c>
      <c r="C34" t="s">
        <v>82</v>
      </c>
      <c r="D34" t="s">
        <v>21</v>
      </c>
      <c r="E34" t="s">
        <v>27</v>
      </c>
      <c r="F34">
        <v>20000</v>
      </c>
      <c r="G34">
        <v>18749</v>
      </c>
      <c r="H34">
        <v>13116</v>
      </c>
      <c r="J34">
        <v>4445</v>
      </c>
      <c r="K34">
        <v>0</v>
      </c>
      <c r="L34">
        <v>0</v>
      </c>
      <c r="M34">
        <v>0</v>
      </c>
      <c r="N34">
        <v>953</v>
      </c>
      <c r="P34" t="e">
        <f t="shared" si="0"/>
        <v>#DIV/0!</v>
      </c>
      <c r="Q34" t="e">
        <f t="shared" si="1"/>
        <v>#DIV/0!</v>
      </c>
      <c r="S34" t="e">
        <f t="shared" si="2"/>
        <v>#DIV/0!</v>
      </c>
    </row>
    <row r="35" spans="1:19" x14ac:dyDescent="0.2">
      <c r="A35" t="s">
        <v>91</v>
      </c>
      <c r="B35" t="s">
        <v>92</v>
      </c>
      <c r="C35" t="s">
        <v>82</v>
      </c>
      <c r="D35" t="s">
        <v>24</v>
      </c>
      <c r="E35" t="s">
        <v>27</v>
      </c>
      <c r="F35">
        <v>20000</v>
      </c>
      <c r="G35">
        <v>18994</v>
      </c>
      <c r="H35">
        <v>13316</v>
      </c>
      <c r="J35">
        <v>3234</v>
      </c>
      <c r="K35">
        <v>1</v>
      </c>
      <c r="L35">
        <v>0</v>
      </c>
      <c r="M35">
        <v>0</v>
      </c>
      <c r="N35">
        <v>423</v>
      </c>
      <c r="P35">
        <f t="shared" si="0"/>
        <v>0</v>
      </c>
      <c r="Q35">
        <f t="shared" si="1"/>
        <v>0</v>
      </c>
      <c r="S35" t="e">
        <f t="shared" si="2"/>
        <v>#DIV/0!</v>
      </c>
    </row>
    <row r="36" spans="1:19" x14ac:dyDescent="0.2">
      <c r="A36" t="s">
        <v>93</v>
      </c>
      <c r="B36" t="s">
        <v>94</v>
      </c>
      <c r="C36" t="s">
        <v>82</v>
      </c>
      <c r="D36" t="s">
        <v>34</v>
      </c>
      <c r="E36" t="s">
        <v>27</v>
      </c>
      <c r="F36">
        <v>40000</v>
      </c>
      <c r="G36">
        <v>39497</v>
      </c>
      <c r="H36">
        <v>32330</v>
      </c>
      <c r="J36">
        <v>15278</v>
      </c>
      <c r="K36">
        <v>11313</v>
      </c>
      <c r="L36">
        <v>5082</v>
      </c>
      <c r="M36">
        <v>1980</v>
      </c>
      <c r="N36">
        <v>4</v>
      </c>
      <c r="P36">
        <f t="shared" si="0"/>
        <v>17.501988862370723</v>
      </c>
      <c r="Q36">
        <f t="shared" si="1"/>
        <v>44.921771413418192</v>
      </c>
      <c r="S36">
        <f t="shared" si="2"/>
        <v>0.38961038961038957</v>
      </c>
    </row>
    <row r="37" spans="1:19" x14ac:dyDescent="0.2">
      <c r="A37" t="s">
        <v>95</v>
      </c>
      <c r="F37">
        <v>10000</v>
      </c>
      <c r="G37">
        <v>9767</v>
      </c>
      <c r="H37">
        <v>8688</v>
      </c>
      <c r="J37">
        <v>1655</v>
      </c>
      <c r="K37">
        <v>11</v>
      </c>
      <c r="L37">
        <v>5</v>
      </c>
      <c r="M37">
        <v>3</v>
      </c>
      <c r="N37">
        <v>2</v>
      </c>
      <c r="P37">
        <f t="shared" si="0"/>
        <v>27.27272727272727</v>
      </c>
      <c r="Q37">
        <f t="shared" si="1"/>
        <v>45.454545454545453</v>
      </c>
      <c r="S37">
        <f t="shared" si="2"/>
        <v>0.6</v>
      </c>
    </row>
    <row r="38" spans="1:19" x14ac:dyDescent="0.2">
      <c r="A38" t="s">
        <v>96</v>
      </c>
      <c r="F38">
        <v>35874</v>
      </c>
      <c r="G38">
        <v>34417</v>
      </c>
      <c r="H38">
        <v>26935</v>
      </c>
      <c r="J38">
        <v>10898</v>
      </c>
      <c r="K38">
        <v>6301</v>
      </c>
      <c r="L38">
        <v>2680</v>
      </c>
      <c r="M38">
        <v>819</v>
      </c>
      <c r="N38">
        <v>449</v>
      </c>
      <c r="P38">
        <f t="shared" si="0"/>
        <v>12.99793683542295</v>
      </c>
      <c r="Q38">
        <f t="shared" si="1"/>
        <v>42.532931280749089</v>
      </c>
      <c r="S38">
        <f t="shared" si="2"/>
        <v>0.30559701492537317</v>
      </c>
    </row>
    <row r="39" spans="1:19" x14ac:dyDescent="0.2">
      <c r="A39" t="s">
        <v>97</v>
      </c>
      <c r="F39">
        <v>13996</v>
      </c>
      <c r="G39">
        <v>14148</v>
      </c>
      <c r="H39">
        <v>12351</v>
      </c>
      <c r="J39">
        <v>6921</v>
      </c>
      <c r="K39">
        <v>6028</v>
      </c>
      <c r="L39">
        <v>2801</v>
      </c>
      <c r="M39">
        <v>794</v>
      </c>
      <c r="N39">
        <v>325</v>
      </c>
      <c r="P39">
        <f t="shared" si="0"/>
        <v>13.171864631718647</v>
      </c>
      <c r="Q39">
        <f t="shared" si="1"/>
        <v>46.466489714664903</v>
      </c>
      <c r="S39">
        <f t="shared" si="2"/>
        <v>0.28347018921813633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F20B-91C8-684D-BC78-EE24B04D03AD}">
  <dimension ref="A1:F11"/>
  <sheetViews>
    <sheetView tabSelected="1" workbookViewId="0">
      <selection activeCell="H17" sqref="H17"/>
    </sheetView>
  </sheetViews>
  <sheetFormatPr baseColWidth="10" defaultRowHeight="15" x14ac:dyDescent="0.2"/>
  <sheetData>
    <row r="1" spans="1:6" x14ac:dyDescent="0.2">
      <c r="B1" t="s">
        <v>101</v>
      </c>
      <c r="C1" t="s">
        <v>67</v>
      </c>
      <c r="D1" t="s">
        <v>52</v>
      </c>
      <c r="E1" t="s">
        <v>102</v>
      </c>
      <c r="F1" t="s">
        <v>103</v>
      </c>
    </row>
    <row r="2" spans="1:6" x14ac:dyDescent="0.2">
      <c r="A2" t="s">
        <v>17</v>
      </c>
      <c r="B2">
        <v>0.38564142801098467</v>
      </c>
      <c r="C2">
        <v>0.41259021651964717</v>
      </c>
      <c r="D2">
        <v>0.4036379385015158</v>
      </c>
      <c r="E2">
        <v>0.6970930232558139</v>
      </c>
      <c r="F2">
        <v>0.34438873891245658</v>
      </c>
    </row>
    <row r="5" spans="1:6" x14ac:dyDescent="0.2">
      <c r="A5" t="s">
        <v>21</v>
      </c>
      <c r="B5">
        <v>0.25847457627118647</v>
      </c>
      <c r="C5">
        <v>0.19316909294512877</v>
      </c>
      <c r="D5">
        <v>0.23871473354231976</v>
      </c>
      <c r="E5">
        <v>0.46127067014795475</v>
      </c>
      <c r="F5">
        <v>0.21004566210045661</v>
      </c>
    </row>
    <row r="8" spans="1:6" x14ac:dyDescent="0.2">
      <c r="A8" t="s">
        <v>24</v>
      </c>
      <c r="B8">
        <v>0.24379049676025921</v>
      </c>
      <c r="C8">
        <v>0.21786632390745503</v>
      </c>
      <c r="D8">
        <v>0.23175768701239102</v>
      </c>
      <c r="E8">
        <v>0.56424259844782976</v>
      </c>
      <c r="F8">
        <v>0.29167294082216533</v>
      </c>
    </row>
    <row r="11" spans="1:6" x14ac:dyDescent="0.2">
      <c r="A11" t="s">
        <v>34</v>
      </c>
      <c r="B11">
        <v>0.38961038961038957</v>
      </c>
      <c r="C11">
        <v>0.26047002109069001</v>
      </c>
      <c r="D11">
        <v>0.26829268292682928</v>
      </c>
      <c r="E11">
        <v>0.53259408602150538</v>
      </c>
      <c r="F11">
        <v>0.28900747065101384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Rishita Chatterjee</cp:lastModifiedBy>
  <cp:revision/>
  <dcterms:created xsi:type="dcterms:W3CDTF">2025-01-21T07:24:00Z</dcterms:created>
  <dcterms:modified xsi:type="dcterms:W3CDTF">2025-02-19T10:01:42Z</dcterms:modified>
  <cp:category/>
  <cp:contentStatus/>
</cp:coreProperties>
</file>